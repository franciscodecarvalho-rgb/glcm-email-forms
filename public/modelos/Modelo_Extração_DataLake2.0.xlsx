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a.carvalho\Desktop\"/>
    </mc:Choice>
  </mc:AlternateContent>
  <xr:revisionPtr revIDLastSave="0" documentId="8_{A7230CAB-4DFE-4B8D-B032-F0E4F6DB6F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nco de Horas" sheetId="1" r:id="rId1"/>
  </sheets>
  <definedNames>
    <definedName name="_xlnm._FilterDatabase" localSheetId="0" hidden="1">'Banco de Horas'!$A$1:$K$51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1" l="1"/>
  <c r="I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52" i="1" s="1"/>
</calcChain>
</file>

<file path=xl/sharedStrings.xml><?xml version="1.0" encoding="utf-8"?>
<sst xmlns="http://schemas.openxmlformats.org/spreadsheetml/2006/main" count="266" uniqueCount="73">
  <si>
    <t>#</t>
  </si>
  <si>
    <t>Origem</t>
  </si>
  <si>
    <t>Cliente</t>
  </si>
  <si>
    <t>Situação CPF</t>
  </si>
  <si>
    <t>CPF</t>
  </si>
  <si>
    <t>Empresa</t>
  </si>
  <si>
    <t>Temas Abrangidos</t>
  </si>
  <si>
    <t>Meses</t>
  </si>
  <si>
    <t>Proventos (R$)</t>
  </si>
  <si>
    <t>Descontos (R$)</t>
  </si>
  <si>
    <t>Saldo Líquido (R$)</t>
  </si>
  <si>
    <t>Base histórica</t>
  </si>
  <si>
    <t>Evano de Souza Passos</t>
  </si>
  <si>
    <t>Sem CPF validado</t>
  </si>
  <si>
    <t>(sem empresa/modelo)</t>
  </si>
  <si>
    <t>Banco de Horas</t>
  </si>
  <si>
    <t>BERNARDO MOISÉS CORREIA DA SILVA</t>
  </si>
  <si>
    <t>Magno Antonio Bemfica de Oliveira</t>
  </si>
  <si>
    <t>Luis Henrique Fernandes</t>
  </si>
  <si>
    <t>ADRIANO DOS SANTOS BRANDÃO</t>
  </si>
  <si>
    <t>WAGNER SANTOS UZEDA</t>
  </si>
  <si>
    <t>ANDRÉ HENRIQUE LEMOS DE FREITAS</t>
  </si>
  <si>
    <t>Williams Luiz Alves Monteiro</t>
  </si>
  <si>
    <t>Roberto Silva Miranda</t>
  </si>
  <si>
    <t>MAX JUNIOR PINHEIRO SILVA</t>
  </si>
  <si>
    <t>LIDIANE ROGERIO CRUZ</t>
  </si>
  <si>
    <t>Jose Ivan Ramalho de Souza</t>
  </si>
  <si>
    <t>Heber Silva Santana</t>
  </si>
  <si>
    <t>EDUARDO BAPTISTA MOTTA</t>
  </si>
  <si>
    <t>Pedro Henrique Dias da Silva</t>
  </si>
  <si>
    <t>Lucas Evangelista da Costa</t>
  </si>
  <si>
    <t>JOSÉ RODRIGUES DE ANDRADE</t>
  </si>
  <si>
    <t>Ivanildo Antonio Soares Correia</t>
  </si>
  <si>
    <t>Petróleo Brasileiro S.A.</t>
  </si>
  <si>
    <t>Wagner Luis Rochink Costa</t>
  </si>
  <si>
    <t>JOSÉ ODAIR GONÇALVES</t>
  </si>
  <si>
    <t>Jose Kilder Nascimento de Oliveira</t>
  </si>
  <si>
    <t>Flávia Martins Batista Silva da Matta</t>
  </si>
  <si>
    <t>DOCUMENTOS DIVERSOS</t>
  </si>
  <si>
    <t>BRENO GONÇALVES PY</t>
  </si>
  <si>
    <t>BRUNO CORTES CARNEIRO</t>
  </si>
  <si>
    <t>Abel Gomes de Abreu</t>
  </si>
  <si>
    <t>Tony Erick Coco Tosta</t>
  </si>
  <si>
    <t>ALMIR ROBERSON AIZZO SODRÉ</t>
  </si>
  <si>
    <t>RICARDO LOPES MATRICIANO</t>
  </si>
  <si>
    <t>DAFNHÉ THOR CASTRO DE MARTINS BARROS</t>
  </si>
  <si>
    <t>Lucas de Oliveira Faria</t>
  </si>
  <si>
    <t>DANIEL JEFFERSON RIBEIRO</t>
  </si>
  <si>
    <t>CPF validado</t>
  </si>
  <si>
    <t>33260054820</t>
  </si>
  <si>
    <t>Rafael Silveira</t>
  </si>
  <si>
    <t>DANIEL CAVALCANTE CARVALHO</t>
  </si>
  <si>
    <t>82779830506</t>
  </si>
  <si>
    <t>Elvis Izidro de Jesus</t>
  </si>
  <si>
    <t>Lino Adriano da Silva</t>
  </si>
  <si>
    <t>Josimar Sales dos Santos</t>
  </si>
  <si>
    <t>David Teixeira Sabino</t>
  </si>
  <si>
    <t>HELIO FERNANDO DIAS FONTES</t>
  </si>
  <si>
    <t>VALTER LUIS DOS SANTOS VIANA</t>
  </si>
  <si>
    <t>Marcus Vinícius Lemos da Silva</t>
  </si>
  <si>
    <t>RAMYRO MONNERAT MACEDO</t>
  </si>
  <si>
    <t>WANDERSON ROSI</t>
  </si>
  <si>
    <t>Silvano Nasse Ferrel Oliveira</t>
  </si>
  <si>
    <t>Helio Fernando Dias Fonte</t>
  </si>
  <si>
    <t>Fagner Vinicius Cabral Montenegro</t>
  </si>
  <si>
    <t>Paulo Roberto Neves Abrantes</t>
  </si>
  <si>
    <t>CLEDSON BARRETO DOS SANTOS</t>
  </si>
  <si>
    <t>NILSON DE OLIVEIRA FREITAS</t>
  </si>
  <si>
    <t>Lourinaldo Soares da Silva Junior</t>
  </si>
  <si>
    <t>Luiz Carlos Marinho de Brito</t>
  </si>
  <si>
    <t>88674061753</t>
  </si>
  <si>
    <t>TOTAL</t>
  </si>
  <si>
    <t>Fonte: painel interno, página 1 (até 50 linhas). Saldo Líquido recalculado por fórmula (Proventos − Descontos); conferido contra o painel sem divergências.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</si>
</sst>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&quot;-&quot;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i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49" fontId="2" fillId="0" borderId="1" xfId="0" applyNumberFormat="1" applyFont="1" applyBorder="1"/>
    <xf numFmtId="164" fontId="2" fillId="0" borderId="1" xfId="0" applyNumberFormat="1" applyFont="1" applyBorder="1"/>
    <xf numFmtId="0" fontId="3" fillId="3" borderId="1" xfId="0" applyFont="1" applyFill="1" applyBorder="1"/>
    <xf numFmtId="49" fontId="3" fillId="3" borderId="1" xfId="0" applyNumberFormat="1" applyFont="1" applyFill="1" applyBorder="1"/>
    <xf numFmtId="164" fontId="3" fillId="3" borderId="1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15" customWidth="1"/>
    <col min="3" max="3" width="40" customWidth="1"/>
    <col min="4" max="4" width="18" customWidth="1"/>
    <col min="5" max="5" width="14" customWidth="1"/>
    <col min="6" max="6" width="26" customWidth="1"/>
    <col min="7" max="7" width="18" customWidth="1"/>
    <col min="8" max="8" width="8" customWidth="1"/>
    <col min="9" max="9" width="16" customWidth="1"/>
    <col min="10" max="10" width="15" customWidth="1"/>
    <col min="11" max="11" width="18" customWidth="1"/>
  </cols>
  <sheetData>
    <row r="1" spans="1:11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2" t="s">
        <v>11</v>
      </c>
      <c r="C2" s="2" t="s">
        <v>12</v>
      </c>
      <c r="D2" s="2" t="s">
        <v>13</v>
      </c>
      <c r="E2" s="3"/>
      <c r="F2" s="2" t="s">
        <v>14</v>
      </c>
      <c r="G2" s="2" t="s">
        <v>15</v>
      </c>
      <c r="H2" s="2">
        <v>26</v>
      </c>
      <c r="I2" s="4">
        <v>601664.47</v>
      </c>
      <c r="J2" s="4">
        <v>142.71</v>
      </c>
      <c r="K2" s="4">
        <f t="shared" ref="K2:K33" si="0">I2-J2</f>
        <v>601521.76</v>
      </c>
    </row>
    <row r="3" spans="1:11" x14ac:dyDescent="0.3">
      <c r="A3" s="2">
        <v>2</v>
      </c>
      <c r="B3" s="2" t="s">
        <v>11</v>
      </c>
      <c r="C3" s="2" t="s">
        <v>16</v>
      </c>
      <c r="D3" s="2" t="s">
        <v>13</v>
      </c>
      <c r="E3" s="3"/>
      <c r="F3" s="2" t="s">
        <v>14</v>
      </c>
      <c r="G3" s="2" t="s">
        <v>15</v>
      </c>
      <c r="H3" s="2">
        <v>29</v>
      </c>
      <c r="I3" s="4">
        <v>399471.18</v>
      </c>
      <c r="J3" s="4">
        <v>0</v>
      </c>
      <c r="K3" s="4">
        <f t="shared" si="0"/>
        <v>399471.18</v>
      </c>
    </row>
    <row r="4" spans="1:11" x14ac:dyDescent="0.3">
      <c r="A4" s="2">
        <v>3</v>
      </c>
      <c r="B4" s="2" t="s">
        <v>11</v>
      </c>
      <c r="C4" s="2" t="s">
        <v>17</v>
      </c>
      <c r="D4" s="2" t="s">
        <v>13</v>
      </c>
      <c r="E4" s="3"/>
      <c r="F4" s="2" t="s">
        <v>14</v>
      </c>
      <c r="G4" s="2" t="s">
        <v>15</v>
      </c>
      <c r="H4" s="2">
        <v>10</v>
      </c>
      <c r="I4" s="4">
        <v>399303.69</v>
      </c>
      <c r="J4" s="4">
        <v>0</v>
      </c>
      <c r="K4" s="4">
        <f t="shared" si="0"/>
        <v>399303.69</v>
      </c>
    </row>
    <row r="5" spans="1:11" x14ac:dyDescent="0.3">
      <c r="A5" s="2">
        <v>4</v>
      </c>
      <c r="B5" s="2" t="s">
        <v>11</v>
      </c>
      <c r="C5" s="2" t="s">
        <v>18</v>
      </c>
      <c r="D5" s="2" t="s">
        <v>13</v>
      </c>
      <c r="E5" s="3"/>
      <c r="F5" s="2" t="s">
        <v>14</v>
      </c>
      <c r="G5" s="2" t="s">
        <v>15</v>
      </c>
      <c r="H5" s="2">
        <v>10</v>
      </c>
      <c r="I5" s="4">
        <v>398714.4</v>
      </c>
      <c r="J5" s="4">
        <v>0</v>
      </c>
      <c r="K5" s="4">
        <f t="shared" si="0"/>
        <v>398714.4</v>
      </c>
    </row>
    <row r="6" spans="1:11" x14ac:dyDescent="0.3">
      <c r="A6" s="2">
        <v>5</v>
      </c>
      <c r="B6" s="2" t="s">
        <v>11</v>
      </c>
      <c r="C6" s="2" t="s">
        <v>19</v>
      </c>
      <c r="D6" s="2" t="s">
        <v>13</v>
      </c>
      <c r="E6" s="3"/>
      <c r="F6" s="2" t="s">
        <v>14</v>
      </c>
      <c r="G6" s="2" t="s">
        <v>15</v>
      </c>
      <c r="H6" s="2">
        <v>28</v>
      </c>
      <c r="I6" s="4">
        <v>384256.37</v>
      </c>
      <c r="J6" s="4">
        <v>3814.65</v>
      </c>
      <c r="K6" s="4">
        <f t="shared" si="0"/>
        <v>380441.72</v>
      </c>
    </row>
    <row r="7" spans="1:11" x14ac:dyDescent="0.3">
      <c r="A7" s="2">
        <v>6</v>
      </c>
      <c r="B7" s="2" t="s">
        <v>11</v>
      </c>
      <c r="C7" s="2" t="s">
        <v>20</v>
      </c>
      <c r="D7" s="2" t="s">
        <v>13</v>
      </c>
      <c r="E7" s="3"/>
      <c r="F7" s="2" t="s">
        <v>14</v>
      </c>
      <c r="G7" s="2" t="s">
        <v>15</v>
      </c>
      <c r="H7" s="2">
        <v>27</v>
      </c>
      <c r="I7" s="4">
        <v>358274.04</v>
      </c>
      <c r="J7" s="4">
        <v>1972.42</v>
      </c>
      <c r="K7" s="4">
        <f t="shared" si="0"/>
        <v>356301.62</v>
      </c>
    </row>
    <row r="8" spans="1:11" x14ac:dyDescent="0.3">
      <c r="A8" s="2">
        <v>7</v>
      </c>
      <c r="B8" s="2" t="s">
        <v>11</v>
      </c>
      <c r="C8" s="2" t="s">
        <v>21</v>
      </c>
      <c r="D8" s="2" t="s">
        <v>13</v>
      </c>
      <c r="E8" s="3"/>
      <c r="F8" s="2" t="s">
        <v>14</v>
      </c>
      <c r="G8" s="2" t="s">
        <v>15</v>
      </c>
      <c r="H8" s="2">
        <v>16</v>
      </c>
      <c r="I8" s="4">
        <v>342988.16</v>
      </c>
      <c r="J8" s="4">
        <v>0</v>
      </c>
      <c r="K8" s="4">
        <f t="shared" si="0"/>
        <v>342988.16</v>
      </c>
    </row>
    <row r="9" spans="1:11" x14ac:dyDescent="0.3">
      <c r="A9" s="2">
        <v>8</v>
      </c>
      <c r="B9" s="2" t="s">
        <v>11</v>
      </c>
      <c r="C9" s="2" t="s">
        <v>22</v>
      </c>
      <c r="D9" s="2" t="s">
        <v>13</v>
      </c>
      <c r="E9" s="3"/>
      <c r="F9" s="2" t="s">
        <v>14</v>
      </c>
      <c r="G9" s="2" t="s">
        <v>15</v>
      </c>
      <c r="H9" s="2">
        <v>28</v>
      </c>
      <c r="I9" s="4">
        <v>299195.46000000002</v>
      </c>
      <c r="J9" s="4">
        <v>0</v>
      </c>
      <c r="K9" s="4">
        <f t="shared" si="0"/>
        <v>299195.46000000002</v>
      </c>
    </row>
    <row r="10" spans="1:11" x14ac:dyDescent="0.3">
      <c r="A10" s="2">
        <v>9</v>
      </c>
      <c r="B10" s="2" t="s">
        <v>11</v>
      </c>
      <c r="C10" s="2" t="s">
        <v>23</v>
      </c>
      <c r="D10" s="2" t="s">
        <v>13</v>
      </c>
      <c r="E10" s="3"/>
      <c r="F10" s="2" t="s">
        <v>14</v>
      </c>
      <c r="G10" s="2" t="s">
        <v>15</v>
      </c>
      <c r="H10" s="2">
        <v>12</v>
      </c>
      <c r="I10" s="4">
        <v>296242.28000000003</v>
      </c>
      <c r="J10" s="4">
        <v>0</v>
      </c>
      <c r="K10" s="4">
        <f t="shared" si="0"/>
        <v>296242.28000000003</v>
      </c>
    </row>
    <row r="11" spans="1:11" x14ac:dyDescent="0.3">
      <c r="A11" s="2">
        <v>10</v>
      </c>
      <c r="B11" s="2" t="s">
        <v>11</v>
      </c>
      <c r="C11" s="2" t="s">
        <v>24</v>
      </c>
      <c r="D11" s="2" t="s">
        <v>13</v>
      </c>
      <c r="E11" s="3"/>
      <c r="F11" s="2" t="s">
        <v>14</v>
      </c>
      <c r="G11" s="2" t="s">
        <v>15</v>
      </c>
      <c r="H11" s="2">
        <v>28</v>
      </c>
      <c r="I11" s="4">
        <v>295312.3</v>
      </c>
      <c r="J11" s="4">
        <v>3837.71</v>
      </c>
      <c r="K11" s="4">
        <f t="shared" si="0"/>
        <v>291474.58999999997</v>
      </c>
    </row>
    <row r="12" spans="1:11" x14ac:dyDescent="0.3">
      <c r="A12" s="2">
        <v>11</v>
      </c>
      <c r="B12" s="2" t="s">
        <v>11</v>
      </c>
      <c r="C12" s="2" t="s">
        <v>25</v>
      </c>
      <c r="D12" s="2" t="s">
        <v>13</v>
      </c>
      <c r="E12" s="3"/>
      <c r="F12" s="2" t="s">
        <v>14</v>
      </c>
      <c r="G12" s="2" t="s">
        <v>15</v>
      </c>
      <c r="H12" s="2">
        <v>21</v>
      </c>
      <c r="I12" s="4">
        <v>289574.53999999998</v>
      </c>
      <c r="J12" s="4">
        <v>0</v>
      </c>
      <c r="K12" s="4">
        <f t="shared" si="0"/>
        <v>289574.53999999998</v>
      </c>
    </row>
    <row r="13" spans="1:11" x14ac:dyDescent="0.3">
      <c r="A13" s="2">
        <v>12</v>
      </c>
      <c r="B13" s="2" t="s">
        <v>11</v>
      </c>
      <c r="C13" s="2" t="s">
        <v>26</v>
      </c>
      <c r="D13" s="2" t="s">
        <v>13</v>
      </c>
      <c r="E13" s="3"/>
      <c r="F13" s="2" t="s">
        <v>14</v>
      </c>
      <c r="G13" s="2" t="s">
        <v>15</v>
      </c>
      <c r="H13" s="2">
        <v>25</v>
      </c>
      <c r="I13" s="4">
        <v>286855.25</v>
      </c>
      <c r="J13" s="4">
        <v>125.6</v>
      </c>
      <c r="K13" s="4">
        <f t="shared" si="0"/>
        <v>286729.65000000002</v>
      </c>
    </row>
    <row r="14" spans="1:11" x14ac:dyDescent="0.3">
      <c r="A14" s="2">
        <v>13</v>
      </c>
      <c r="B14" s="2" t="s">
        <v>11</v>
      </c>
      <c r="C14" s="2" t="s">
        <v>27</v>
      </c>
      <c r="D14" s="2" t="s">
        <v>13</v>
      </c>
      <c r="E14" s="3"/>
      <c r="F14" s="2" t="s">
        <v>14</v>
      </c>
      <c r="G14" s="2" t="s">
        <v>15</v>
      </c>
      <c r="H14" s="2">
        <v>19</v>
      </c>
      <c r="I14" s="4">
        <v>286624.43</v>
      </c>
      <c r="J14" s="4">
        <v>2636.18</v>
      </c>
      <c r="K14" s="4">
        <f t="shared" si="0"/>
        <v>283988.25</v>
      </c>
    </row>
    <row r="15" spans="1:11" x14ac:dyDescent="0.3">
      <c r="A15" s="2">
        <v>14</v>
      </c>
      <c r="B15" s="2" t="s">
        <v>11</v>
      </c>
      <c r="C15" s="2" t="s">
        <v>28</v>
      </c>
      <c r="D15" s="2" t="s">
        <v>13</v>
      </c>
      <c r="E15" s="3"/>
      <c r="F15" s="2" t="s">
        <v>14</v>
      </c>
      <c r="G15" s="2" t="s">
        <v>15</v>
      </c>
      <c r="H15" s="2">
        <v>25</v>
      </c>
      <c r="I15" s="4">
        <v>284093.81</v>
      </c>
      <c r="J15" s="4">
        <v>2902.94</v>
      </c>
      <c r="K15" s="4">
        <f t="shared" si="0"/>
        <v>281190.87</v>
      </c>
    </row>
    <row r="16" spans="1:11" x14ac:dyDescent="0.3">
      <c r="A16" s="2">
        <v>15</v>
      </c>
      <c r="B16" s="2" t="s">
        <v>11</v>
      </c>
      <c r="C16" s="2" t="s">
        <v>29</v>
      </c>
      <c r="D16" s="2" t="s">
        <v>13</v>
      </c>
      <c r="E16" s="3"/>
      <c r="F16" s="2" t="s">
        <v>14</v>
      </c>
      <c r="G16" s="2" t="s">
        <v>15</v>
      </c>
      <c r="H16" s="2">
        <v>16</v>
      </c>
      <c r="I16" s="4">
        <v>281724.07</v>
      </c>
      <c r="J16" s="4">
        <v>0</v>
      </c>
      <c r="K16" s="4">
        <f t="shared" si="0"/>
        <v>281724.07</v>
      </c>
    </row>
    <row r="17" spans="1:11" x14ac:dyDescent="0.3">
      <c r="A17" s="2">
        <v>16</v>
      </c>
      <c r="B17" s="2" t="s">
        <v>11</v>
      </c>
      <c r="C17" s="2" t="s">
        <v>30</v>
      </c>
      <c r="D17" s="2" t="s">
        <v>13</v>
      </c>
      <c r="E17" s="3"/>
      <c r="F17" s="2" t="s">
        <v>14</v>
      </c>
      <c r="G17" s="2" t="s">
        <v>15</v>
      </c>
      <c r="H17" s="2">
        <v>22</v>
      </c>
      <c r="I17" s="4">
        <v>278526.88</v>
      </c>
      <c r="J17" s="4">
        <v>0</v>
      </c>
      <c r="K17" s="4">
        <f t="shared" si="0"/>
        <v>278526.88</v>
      </c>
    </row>
    <row r="18" spans="1:11" x14ac:dyDescent="0.3">
      <c r="A18" s="2">
        <v>17</v>
      </c>
      <c r="B18" s="2" t="s">
        <v>11</v>
      </c>
      <c r="C18" s="2" t="s">
        <v>31</v>
      </c>
      <c r="D18" s="2" t="s">
        <v>13</v>
      </c>
      <c r="E18" s="3"/>
      <c r="F18" s="2" t="s">
        <v>14</v>
      </c>
      <c r="G18" s="2" t="s">
        <v>15</v>
      </c>
      <c r="H18" s="2">
        <v>13</v>
      </c>
      <c r="I18" s="4">
        <v>277640.46999999997</v>
      </c>
      <c r="J18" s="4">
        <v>0</v>
      </c>
      <c r="K18" s="4">
        <f t="shared" si="0"/>
        <v>277640.46999999997</v>
      </c>
    </row>
    <row r="19" spans="1:11" x14ac:dyDescent="0.3">
      <c r="A19" s="2">
        <v>18</v>
      </c>
      <c r="B19" s="2" t="s">
        <v>11</v>
      </c>
      <c r="C19" s="2" t="s">
        <v>32</v>
      </c>
      <c r="D19" s="2" t="s">
        <v>13</v>
      </c>
      <c r="E19" s="3"/>
      <c r="F19" s="2" t="s">
        <v>33</v>
      </c>
      <c r="G19" s="2" t="s">
        <v>15</v>
      </c>
      <c r="H19" s="2">
        <v>7</v>
      </c>
      <c r="I19" s="4">
        <v>273634.18</v>
      </c>
      <c r="J19" s="4">
        <v>1014.74</v>
      </c>
      <c r="K19" s="4">
        <f t="shared" si="0"/>
        <v>272619.44</v>
      </c>
    </row>
    <row r="20" spans="1:11" x14ac:dyDescent="0.3">
      <c r="A20" s="2">
        <v>19</v>
      </c>
      <c r="B20" s="2" t="s">
        <v>11</v>
      </c>
      <c r="C20" s="2" t="s">
        <v>34</v>
      </c>
      <c r="D20" s="2" t="s">
        <v>13</v>
      </c>
      <c r="E20" s="3"/>
      <c r="F20" s="2" t="s">
        <v>14</v>
      </c>
      <c r="G20" s="2" t="s">
        <v>15</v>
      </c>
      <c r="H20" s="2">
        <v>19</v>
      </c>
      <c r="I20" s="4">
        <v>271812.12</v>
      </c>
      <c r="J20" s="4">
        <v>35.979999999999997</v>
      </c>
      <c r="K20" s="4">
        <f t="shared" si="0"/>
        <v>271776.14</v>
      </c>
    </row>
    <row r="21" spans="1:11" x14ac:dyDescent="0.3">
      <c r="A21" s="2">
        <v>20</v>
      </c>
      <c r="B21" s="2" t="s">
        <v>11</v>
      </c>
      <c r="C21" s="2" t="s">
        <v>35</v>
      </c>
      <c r="D21" s="2" t="s">
        <v>13</v>
      </c>
      <c r="E21" s="3"/>
      <c r="F21" s="2" t="s">
        <v>14</v>
      </c>
      <c r="G21" s="2" t="s">
        <v>15</v>
      </c>
      <c r="H21" s="2">
        <v>22</v>
      </c>
      <c r="I21" s="4">
        <v>269355.40000000002</v>
      </c>
      <c r="J21" s="4">
        <v>0</v>
      </c>
      <c r="K21" s="4">
        <f t="shared" si="0"/>
        <v>269355.40000000002</v>
      </c>
    </row>
    <row r="22" spans="1:11" x14ac:dyDescent="0.3">
      <c r="A22" s="2">
        <v>21</v>
      </c>
      <c r="B22" s="2" t="s">
        <v>11</v>
      </c>
      <c r="C22" s="2" t="s">
        <v>36</v>
      </c>
      <c r="D22" s="2" t="s">
        <v>13</v>
      </c>
      <c r="E22" s="3"/>
      <c r="F22" s="2" t="s">
        <v>14</v>
      </c>
      <c r="G22" s="2" t="s">
        <v>15</v>
      </c>
      <c r="H22" s="2">
        <v>9</v>
      </c>
      <c r="I22" s="4">
        <v>267958.18</v>
      </c>
      <c r="J22" s="4">
        <v>0</v>
      </c>
      <c r="K22" s="4">
        <f t="shared" si="0"/>
        <v>267958.18</v>
      </c>
    </row>
    <row r="23" spans="1:11" x14ac:dyDescent="0.3">
      <c r="A23" s="2">
        <v>22</v>
      </c>
      <c r="B23" s="2" t="s">
        <v>11</v>
      </c>
      <c r="C23" s="2" t="s">
        <v>37</v>
      </c>
      <c r="D23" s="2" t="s">
        <v>13</v>
      </c>
      <c r="E23" s="3"/>
      <c r="F23" s="2" t="s">
        <v>38</v>
      </c>
      <c r="G23" s="2" t="s">
        <v>15</v>
      </c>
      <c r="H23" s="2">
        <v>23</v>
      </c>
      <c r="I23" s="4">
        <v>265553.44</v>
      </c>
      <c r="J23" s="4">
        <v>110.36</v>
      </c>
      <c r="K23" s="4">
        <f t="shared" si="0"/>
        <v>265443.08</v>
      </c>
    </row>
    <row r="24" spans="1:11" x14ac:dyDescent="0.3">
      <c r="A24" s="2">
        <v>23</v>
      </c>
      <c r="B24" s="2" t="s">
        <v>11</v>
      </c>
      <c r="C24" s="2" t="s">
        <v>39</v>
      </c>
      <c r="D24" s="2" t="s">
        <v>13</v>
      </c>
      <c r="E24" s="3"/>
      <c r="F24" s="2" t="s">
        <v>14</v>
      </c>
      <c r="G24" s="2" t="s">
        <v>15</v>
      </c>
      <c r="H24" s="2">
        <v>36</v>
      </c>
      <c r="I24" s="4">
        <v>265387.98</v>
      </c>
      <c r="J24" s="4">
        <v>2281.9899999999998</v>
      </c>
      <c r="K24" s="4">
        <f t="shared" si="0"/>
        <v>263105.99</v>
      </c>
    </row>
    <row r="25" spans="1:11" x14ac:dyDescent="0.3">
      <c r="A25" s="2">
        <v>24</v>
      </c>
      <c r="B25" s="2" t="s">
        <v>11</v>
      </c>
      <c r="C25" s="2" t="s">
        <v>40</v>
      </c>
      <c r="D25" s="2" t="s">
        <v>13</v>
      </c>
      <c r="E25" s="3"/>
      <c r="F25" s="2" t="s">
        <v>14</v>
      </c>
      <c r="G25" s="2" t="s">
        <v>15</v>
      </c>
      <c r="H25" s="2">
        <v>11</v>
      </c>
      <c r="I25" s="4">
        <v>249674</v>
      </c>
      <c r="J25" s="4">
        <v>0</v>
      </c>
      <c r="K25" s="4">
        <f t="shared" si="0"/>
        <v>249674</v>
      </c>
    </row>
    <row r="26" spans="1:11" x14ac:dyDescent="0.3">
      <c r="A26" s="2">
        <v>25</v>
      </c>
      <c r="B26" s="2" t="s">
        <v>11</v>
      </c>
      <c r="C26" s="2" t="s">
        <v>41</v>
      </c>
      <c r="D26" s="2" t="s">
        <v>13</v>
      </c>
      <c r="E26" s="3"/>
      <c r="F26" s="2" t="s">
        <v>14</v>
      </c>
      <c r="G26" s="2" t="s">
        <v>15</v>
      </c>
      <c r="H26" s="2">
        <v>23</v>
      </c>
      <c r="I26" s="4">
        <v>248879.02</v>
      </c>
      <c r="J26" s="4">
        <v>1488.21</v>
      </c>
      <c r="K26" s="4">
        <f t="shared" si="0"/>
        <v>247390.81</v>
      </c>
    </row>
    <row r="27" spans="1:11" x14ac:dyDescent="0.3">
      <c r="A27" s="2">
        <v>26</v>
      </c>
      <c r="B27" s="2" t="s">
        <v>11</v>
      </c>
      <c r="C27" s="2" t="s">
        <v>42</v>
      </c>
      <c r="D27" s="2" t="s">
        <v>13</v>
      </c>
      <c r="E27" s="3"/>
      <c r="F27" s="2" t="s">
        <v>14</v>
      </c>
      <c r="G27" s="2" t="s">
        <v>15</v>
      </c>
      <c r="H27" s="2">
        <v>7</v>
      </c>
      <c r="I27" s="4">
        <v>248395.98</v>
      </c>
      <c r="J27" s="4">
        <v>0</v>
      </c>
      <c r="K27" s="4">
        <f t="shared" si="0"/>
        <v>248395.98</v>
      </c>
    </row>
    <row r="28" spans="1:11" x14ac:dyDescent="0.3">
      <c r="A28" s="2">
        <v>27</v>
      </c>
      <c r="B28" s="2" t="s">
        <v>11</v>
      </c>
      <c r="C28" s="2" t="s">
        <v>43</v>
      </c>
      <c r="D28" s="2" t="s">
        <v>13</v>
      </c>
      <c r="E28" s="3"/>
      <c r="F28" s="2" t="s">
        <v>14</v>
      </c>
      <c r="G28" s="2" t="s">
        <v>15</v>
      </c>
      <c r="H28" s="2">
        <v>13</v>
      </c>
      <c r="I28" s="4">
        <v>241591.96</v>
      </c>
      <c r="J28" s="4">
        <v>293.89</v>
      </c>
      <c r="K28" s="4">
        <f t="shared" si="0"/>
        <v>241298.06999999998</v>
      </c>
    </row>
    <row r="29" spans="1:11" x14ac:dyDescent="0.3">
      <c r="A29" s="2">
        <v>28</v>
      </c>
      <c r="B29" s="2" t="s">
        <v>11</v>
      </c>
      <c r="C29" s="2" t="s">
        <v>44</v>
      </c>
      <c r="D29" s="2" t="s">
        <v>13</v>
      </c>
      <c r="E29" s="3"/>
      <c r="F29" s="2" t="s">
        <v>14</v>
      </c>
      <c r="G29" s="2" t="s">
        <v>15</v>
      </c>
      <c r="H29" s="2">
        <v>11</v>
      </c>
      <c r="I29" s="4">
        <v>240786.18</v>
      </c>
      <c r="J29" s="4">
        <v>0</v>
      </c>
      <c r="K29" s="4">
        <f t="shared" si="0"/>
        <v>240786.18</v>
      </c>
    </row>
    <row r="30" spans="1:11" x14ac:dyDescent="0.3">
      <c r="A30" s="2">
        <v>29</v>
      </c>
      <c r="B30" s="2" t="s">
        <v>11</v>
      </c>
      <c r="C30" s="2" t="s">
        <v>45</v>
      </c>
      <c r="D30" s="2" t="s">
        <v>13</v>
      </c>
      <c r="E30" s="3"/>
      <c r="F30" s="2" t="s">
        <v>33</v>
      </c>
      <c r="G30" s="2" t="s">
        <v>15</v>
      </c>
      <c r="H30" s="2">
        <v>24</v>
      </c>
      <c r="I30" s="4">
        <v>240244.25</v>
      </c>
      <c r="J30" s="4">
        <v>37.21</v>
      </c>
      <c r="K30" s="4">
        <f t="shared" si="0"/>
        <v>240207.04</v>
      </c>
    </row>
    <row r="31" spans="1:11" x14ac:dyDescent="0.3">
      <c r="A31" s="2">
        <v>30</v>
      </c>
      <c r="B31" s="2" t="s">
        <v>11</v>
      </c>
      <c r="C31" s="2" t="s">
        <v>46</v>
      </c>
      <c r="D31" s="2" t="s">
        <v>13</v>
      </c>
      <c r="E31" s="3"/>
      <c r="F31" s="2" t="s">
        <v>14</v>
      </c>
      <c r="G31" s="2" t="s">
        <v>15</v>
      </c>
      <c r="H31" s="2">
        <v>22</v>
      </c>
      <c r="I31" s="4">
        <v>239117.47</v>
      </c>
      <c r="J31" s="4">
        <v>2628.18</v>
      </c>
      <c r="K31" s="4">
        <f t="shared" si="0"/>
        <v>236489.29</v>
      </c>
    </row>
    <row r="32" spans="1:11" x14ac:dyDescent="0.3">
      <c r="A32" s="2">
        <v>31</v>
      </c>
      <c r="B32" s="2" t="s">
        <v>11</v>
      </c>
      <c r="C32" s="2" t="s">
        <v>47</v>
      </c>
      <c r="D32" s="2" t="s">
        <v>48</v>
      </c>
      <c r="E32" s="3" t="s">
        <v>49</v>
      </c>
      <c r="F32" s="2" t="s">
        <v>14</v>
      </c>
      <c r="G32" s="2" t="s">
        <v>15</v>
      </c>
      <c r="H32" s="2">
        <v>18</v>
      </c>
      <c r="I32" s="4">
        <v>236739.92</v>
      </c>
      <c r="J32" s="4">
        <v>0</v>
      </c>
      <c r="K32" s="4">
        <f t="shared" si="0"/>
        <v>236739.92</v>
      </c>
    </row>
    <row r="33" spans="1:11" x14ac:dyDescent="0.3">
      <c r="A33" s="2">
        <v>32</v>
      </c>
      <c r="B33" s="2" t="s">
        <v>11</v>
      </c>
      <c r="C33" s="2" t="s">
        <v>50</v>
      </c>
      <c r="D33" s="2" t="s">
        <v>13</v>
      </c>
      <c r="E33" s="3"/>
      <c r="F33" s="2" t="s">
        <v>14</v>
      </c>
      <c r="G33" s="2" t="s">
        <v>15</v>
      </c>
      <c r="H33" s="2">
        <v>23</v>
      </c>
      <c r="I33" s="4">
        <v>236633.55</v>
      </c>
      <c r="J33" s="4">
        <v>0</v>
      </c>
      <c r="K33" s="4">
        <f t="shared" si="0"/>
        <v>236633.55</v>
      </c>
    </row>
    <row r="34" spans="1:11" x14ac:dyDescent="0.3">
      <c r="A34" s="2">
        <v>33</v>
      </c>
      <c r="B34" s="2" t="s">
        <v>11</v>
      </c>
      <c r="C34" s="2" t="s">
        <v>51</v>
      </c>
      <c r="D34" s="2" t="s">
        <v>48</v>
      </c>
      <c r="E34" s="3" t="s">
        <v>52</v>
      </c>
      <c r="F34" s="2" t="s">
        <v>14</v>
      </c>
      <c r="G34" s="2" t="s">
        <v>15</v>
      </c>
      <c r="H34" s="2">
        <v>19</v>
      </c>
      <c r="I34" s="4">
        <v>232344.53</v>
      </c>
      <c r="J34" s="4">
        <v>1468.1</v>
      </c>
      <c r="K34" s="4">
        <f t="shared" ref="K34:K65" si="1">I34-J34</f>
        <v>230876.43</v>
      </c>
    </row>
    <row r="35" spans="1:11" x14ac:dyDescent="0.3">
      <c r="A35" s="2">
        <v>34</v>
      </c>
      <c r="B35" s="2" t="s">
        <v>11</v>
      </c>
      <c r="C35" s="2" t="s">
        <v>53</v>
      </c>
      <c r="D35" s="2" t="s">
        <v>13</v>
      </c>
      <c r="E35" s="3"/>
      <c r="F35" s="2" t="s">
        <v>14</v>
      </c>
      <c r="G35" s="2" t="s">
        <v>15</v>
      </c>
      <c r="H35" s="2">
        <v>20</v>
      </c>
      <c r="I35" s="4">
        <v>229866.23999999999</v>
      </c>
      <c r="J35" s="4">
        <v>3027.55</v>
      </c>
      <c r="K35" s="4">
        <f t="shared" si="1"/>
        <v>226838.69</v>
      </c>
    </row>
    <row r="36" spans="1:11" x14ac:dyDescent="0.3">
      <c r="A36" s="2">
        <v>35</v>
      </c>
      <c r="B36" s="2" t="s">
        <v>11</v>
      </c>
      <c r="C36" s="2" t="s">
        <v>54</v>
      </c>
      <c r="D36" s="2" t="s">
        <v>13</v>
      </c>
      <c r="E36" s="3"/>
      <c r="F36" s="2" t="s">
        <v>14</v>
      </c>
      <c r="G36" s="2" t="s">
        <v>15</v>
      </c>
      <c r="H36" s="2">
        <v>19</v>
      </c>
      <c r="I36" s="4">
        <v>226901.79</v>
      </c>
      <c r="J36" s="4">
        <v>168.93</v>
      </c>
      <c r="K36" s="4">
        <f t="shared" si="1"/>
        <v>226732.86000000002</v>
      </c>
    </row>
    <row r="37" spans="1:11" x14ac:dyDescent="0.3">
      <c r="A37" s="2">
        <v>36</v>
      </c>
      <c r="B37" s="2" t="s">
        <v>11</v>
      </c>
      <c r="C37" s="2" t="s">
        <v>55</v>
      </c>
      <c r="D37" s="2" t="s">
        <v>13</v>
      </c>
      <c r="E37" s="3"/>
      <c r="F37" s="2" t="s">
        <v>14</v>
      </c>
      <c r="G37" s="2" t="s">
        <v>15</v>
      </c>
      <c r="H37" s="2">
        <v>15</v>
      </c>
      <c r="I37" s="4">
        <v>226760.72</v>
      </c>
      <c r="J37" s="4">
        <v>0</v>
      </c>
      <c r="K37" s="4">
        <f t="shared" si="1"/>
        <v>226760.72</v>
      </c>
    </row>
    <row r="38" spans="1:11" x14ac:dyDescent="0.3">
      <c r="A38" s="2">
        <v>37</v>
      </c>
      <c r="B38" s="2" t="s">
        <v>11</v>
      </c>
      <c r="C38" s="2" t="s">
        <v>56</v>
      </c>
      <c r="D38" s="2" t="s">
        <v>13</v>
      </c>
      <c r="E38" s="3"/>
      <c r="F38" s="2" t="s">
        <v>14</v>
      </c>
      <c r="G38" s="2" t="s">
        <v>15</v>
      </c>
      <c r="H38" s="2">
        <v>13</v>
      </c>
      <c r="I38" s="4">
        <v>225757.13</v>
      </c>
      <c r="J38" s="4">
        <v>18.579999999999998</v>
      </c>
      <c r="K38" s="4">
        <f t="shared" si="1"/>
        <v>225738.55000000002</v>
      </c>
    </row>
    <row r="39" spans="1:11" x14ac:dyDescent="0.3">
      <c r="A39" s="2">
        <v>38</v>
      </c>
      <c r="B39" s="2" t="s">
        <v>11</v>
      </c>
      <c r="C39" s="2" t="s">
        <v>57</v>
      </c>
      <c r="D39" s="2" t="s">
        <v>13</v>
      </c>
      <c r="E39" s="3"/>
      <c r="F39" s="2" t="s">
        <v>14</v>
      </c>
      <c r="G39" s="2" t="s">
        <v>15</v>
      </c>
      <c r="H39" s="2">
        <v>16</v>
      </c>
      <c r="I39" s="4">
        <v>222844.54</v>
      </c>
      <c r="J39" s="4">
        <v>0</v>
      </c>
      <c r="K39" s="4">
        <f t="shared" si="1"/>
        <v>222844.54</v>
      </c>
    </row>
    <row r="40" spans="1:11" x14ac:dyDescent="0.3">
      <c r="A40" s="2">
        <v>39</v>
      </c>
      <c r="B40" s="2" t="s">
        <v>11</v>
      </c>
      <c r="C40" s="2" t="s">
        <v>58</v>
      </c>
      <c r="D40" s="2" t="s">
        <v>13</v>
      </c>
      <c r="E40" s="3"/>
      <c r="F40" s="2" t="s">
        <v>14</v>
      </c>
      <c r="G40" s="2" t="s">
        <v>15</v>
      </c>
      <c r="H40" s="2">
        <v>10</v>
      </c>
      <c r="I40" s="4">
        <v>221148.25</v>
      </c>
      <c r="J40" s="4">
        <v>0</v>
      </c>
      <c r="K40" s="4">
        <f t="shared" si="1"/>
        <v>221148.25</v>
      </c>
    </row>
    <row r="41" spans="1:11" x14ac:dyDescent="0.3">
      <c r="A41" s="2">
        <v>40</v>
      </c>
      <c r="B41" s="2" t="s">
        <v>11</v>
      </c>
      <c r="C41" s="2" t="s">
        <v>59</v>
      </c>
      <c r="D41" s="2" t="s">
        <v>13</v>
      </c>
      <c r="E41" s="3"/>
      <c r="F41" s="2" t="s">
        <v>14</v>
      </c>
      <c r="G41" s="2" t="s">
        <v>15</v>
      </c>
      <c r="H41" s="2">
        <v>16</v>
      </c>
      <c r="I41" s="4">
        <v>220160.27</v>
      </c>
      <c r="J41" s="4">
        <v>594.39</v>
      </c>
      <c r="K41" s="4">
        <f t="shared" si="1"/>
        <v>219565.87999999998</v>
      </c>
    </row>
    <row r="42" spans="1:11" x14ac:dyDescent="0.3">
      <c r="A42" s="2">
        <v>41</v>
      </c>
      <c r="B42" s="2" t="s">
        <v>11</v>
      </c>
      <c r="C42" s="2" t="s">
        <v>60</v>
      </c>
      <c r="D42" s="2" t="s">
        <v>13</v>
      </c>
      <c r="E42" s="3"/>
      <c r="F42" s="2" t="s">
        <v>14</v>
      </c>
      <c r="G42" s="2" t="s">
        <v>15</v>
      </c>
      <c r="H42" s="2">
        <v>25</v>
      </c>
      <c r="I42" s="4">
        <v>217892.13</v>
      </c>
      <c r="J42" s="4">
        <v>14.35</v>
      </c>
      <c r="K42" s="4">
        <f t="shared" si="1"/>
        <v>217877.78</v>
      </c>
    </row>
    <row r="43" spans="1:11" x14ac:dyDescent="0.3">
      <c r="A43" s="2">
        <v>42</v>
      </c>
      <c r="B43" s="2" t="s">
        <v>11</v>
      </c>
      <c r="C43" s="2" t="s">
        <v>61</v>
      </c>
      <c r="D43" s="2" t="s">
        <v>13</v>
      </c>
      <c r="E43" s="3"/>
      <c r="F43" s="2" t="s">
        <v>14</v>
      </c>
      <c r="G43" s="2" t="s">
        <v>15</v>
      </c>
      <c r="H43" s="2">
        <v>7</v>
      </c>
      <c r="I43" s="4">
        <v>217024.03</v>
      </c>
      <c r="J43" s="4">
        <v>0</v>
      </c>
      <c r="K43" s="4">
        <f t="shared" si="1"/>
        <v>217024.03</v>
      </c>
    </row>
    <row r="44" spans="1:11" x14ac:dyDescent="0.3">
      <c r="A44" s="2">
        <v>43</v>
      </c>
      <c r="B44" s="2" t="s">
        <v>11</v>
      </c>
      <c r="C44" s="2" t="s">
        <v>62</v>
      </c>
      <c r="D44" s="2" t="s">
        <v>13</v>
      </c>
      <c r="E44" s="3"/>
      <c r="F44" s="2" t="s">
        <v>14</v>
      </c>
      <c r="G44" s="2" t="s">
        <v>15</v>
      </c>
      <c r="H44" s="2">
        <v>18</v>
      </c>
      <c r="I44" s="4">
        <v>213174.72</v>
      </c>
      <c r="J44" s="4">
        <v>1236.8</v>
      </c>
      <c r="K44" s="4">
        <f t="shared" si="1"/>
        <v>211937.92000000001</v>
      </c>
    </row>
    <row r="45" spans="1:11" x14ac:dyDescent="0.3">
      <c r="A45" s="2">
        <v>44</v>
      </c>
      <c r="B45" s="2" t="s">
        <v>11</v>
      </c>
      <c r="C45" s="2" t="s">
        <v>63</v>
      </c>
      <c r="D45" s="2" t="s">
        <v>13</v>
      </c>
      <c r="E45" s="3"/>
      <c r="F45" s="2" t="s">
        <v>14</v>
      </c>
      <c r="G45" s="2" t="s">
        <v>15</v>
      </c>
      <c r="H45" s="2">
        <v>12</v>
      </c>
      <c r="I45" s="4">
        <v>211543.97</v>
      </c>
      <c r="J45" s="4">
        <v>24.31</v>
      </c>
      <c r="K45" s="4">
        <f t="shared" si="1"/>
        <v>211519.66</v>
      </c>
    </row>
    <row r="46" spans="1:11" x14ac:dyDescent="0.3">
      <c r="A46" s="2">
        <v>45</v>
      </c>
      <c r="B46" s="2" t="s">
        <v>11</v>
      </c>
      <c r="C46" s="2" t="s">
        <v>64</v>
      </c>
      <c r="D46" s="2" t="s">
        <v>13</v>
      </c>
      <c r="E46" s="3"/>
      <c r="F46" s="2" t="s">
        <v>14</v>
      </c>
      <c r="G46" s="2" t="s">
        <v>15</v>
      </c>
      <c r="H46" s="2">
        <v>18</v>
      </c>
      <c r="I46" s="4">
        <v>210124.64</v>
      </c>
      <c r="J46" s="4">
        <v>144.51</v>
      </c>
      <c r="K46" s="4">
        <f t="shared" si="1"/>
        <v>209980.13</v>
      </c>
    </row>
    <row r="47" spans="1:11" x14ac:dyDescent="0.3">
      <c r="A47" s="2">
        <v>46</v>
      </c>
      <c r="B47" s="2" t="s">
        <v>11</v>
      </c>
      <c r="C47" s="2" t="s">
        <v>65</v>
      </c>
      <c r="D47" s="2" t="s">
        <v>13</v>
      </c>
      <c r="E47" s="3"/>
      <c r="F47" s="2" t="s">
        <v>14</v>
      </c>
      <c r="G47" s="2" t="s">
        <v>15</v>
      </c>
      <c r="H47" s="2">
        <v>18</v>
      </c>
      <c r="I47" s="4">
        <v>208110.45</v>
      </c>
      <c r="J47" s="4">
        <v>4981.13</v>
      </c>
      <c r="K47" s="4">
        <f t="shared" si="1"/>
        <v>203129.32</v>
      </c>
    </row>
    <row r="48" spans="1:11" x14ac:dyDescent="0.3">
      <c r="A48" s="2">
        <v>47</v>
      </c>
      <c r="B48" s="2" t="s">
        <v>11</v>
      </c>
      <c r="C48" s="2" t="s">
        <v>66</v>
      </c>
      <c r="D48" s="2" t="s">
        <v>13</v>
      </c>
      <c r="E48" s="3"/>
      <c r="F48" s="2" t="s">
        <v>14</v>
      </c>
      <c r="G48" s="2" t="s">
        <v>15</v>
      </c>
      <c r="H48" s="2">
        <v>14</v>
      </c>
      <c r="I48" s="4">
        <v>206967.45</v>
      </c>
      <c r="J48" s="4">
        <v>0</v>
      </c>
      <c r="K48" s="4">
        <f t="shared" si="1"/>
        <v>206967.45</v>
      </c>
    </row>
    <row r="49" spans="1:11" x14ac:dyDescent="0.3">
      <c r="A49" s="2">
        <v>48</v>
      </c>
      <c r="B49" s="2" t="s">
        <v>11</v>
      </c>
      <c r="C49" s="2" t="s">
        <v>67</v>
      </c>
      <c r="D49" s="2" t="s">
        <v>13</v>
      </c>
      <c r="E49" s="3"/>
      <c r="F49" s="2" t="s">
        <v>14</v>
      </c>
      <c r="G49" s="2" t="s">
        <v>15</v>
      </c>
      <c r="H49" s="2">
        <v>7</v>
      </c>
      <c r="I49" s="4">
        <v>206799.56</v>
      </c>
      <c r="J49" s="4">
        <v>0</v>
      </c>
      <c r="K49" s="4">
        <f t="shared" si="1"/>
        <v>206799.56</v>
      </c>
    </row>
    <row r="50" spans="1:11" x14ac:dyDescent="0.3">
      <c r="A50" s="2">
        <v>49</v>
      </c>
      <c r="B50" s="2" t="s">
        <v>11</v>
      </c>
      <c r="C50" s="2" t="s">
        <v>68</v>
      </c>
      <c r="D50" s="2" t="s">
        <v>13</v>
      </c>
      <c r="E50" s="3"/>
      <c r="F50" s="2" t="s">
        <v>14</v>
      </c>
      <c r="G50" s="2" t="s">
        <v>15</v>
      </c>
      <c r="H50" s="2">
        <v>25</v>
      </c>
      <c r="I50" s="4">
        <v>205977.23</v>
      </c>
      <c r="J50" s="4">
        <v>0</v>
      </c>
      <c r="K50" s="4">
        <f t="shared" si="1"/>
        <v>205977.23</v>
      </c>
    </row>
    <row r="51" spans="1:11" x14ac:dyDescent="0.3">
      <c r="A51" s="2">
        <v>50</v>
      </c>
      <c r="B51" s="2" t="s">
        <v>11</v>
      </c>
      <c r="C51" s="2" t="s">
        <v>69</v>
      </c>
      <c r="D51" s="2" t="s">
        <v>48</v>
      </c>
      <c r="E51" s="3" t="s">
        <v>70</v>
      </c>
      <c r="F51" s="2" t="s">
        <v>38</v>
      </c>
      <c r="G51" s="2" t="s">
        <v>15</v>
      </c>
      <c r="H51" s="2">
        <v>7</v>
      </c>
      <c r="I51" s="4">
        <v>200292.11</v>
      </c>
      <c r="J51" s="4">
        <v>0</v>
      </c>
      <c r="K51" s="4">
        <f t="shared" si="1"/>
        <v>200292.11</v>
      </c>
    </row>
    <row r="52" spans="1:11" x14ac:dyDescent="0.3">
      <c r="A52" s="5"/>
      <c r="B52" s="5"/>
      <c r="C52" s="5" t="s">
        <v>71</v>
      </c>
      <c r="D52" s="5"/>
      <c r="E52" s="6"/>
      <c r="F52" s="5"/>
      <c r="G52" s="5"/>
      <c r="H52" s="5"/>
      <c r="I52" s="7">
        <f>SUM(I2:I51)</f>
        <v>13459915.190000001</v>
      </c>
      <c r="J52" s="7">
        <f>SUM(J2:J51)</f>
        <v>35001.42</v>
      </c>
      <c r="K52" s="7">
        <f>SUM(K2:K51)</f>
        <v>13424913.77</v>
      </c>
    </row>
    <row r="54" spans="1:11" x14ac:dyDescent="0.3">
      <c r="A54" s="8" t="s">
        <v>72</v>
      </c>
    </row>
  </sheetData>
  <autoFilter ref="A1:K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 de Horas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Carvalho</cp:lastModifiedBy>
  <dcterms:created xsi:type="dcterms:W3CDTF">2026-10-07T19:28:38Z</dcterms:created>
  <dcterms:modified xsi:type="dcterms:W3CDTF">2026-10-08T16:12:08Z</dcterms:modified>
</cp:coreProperties>
</file>